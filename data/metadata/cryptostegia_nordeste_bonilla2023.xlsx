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stegia" sheetId="1" state="visible" r:id="rId3"/>
    <sheet name="Notas" sheetId="2" state="visible" r:id="rId4"/>
    <sheet name="Resum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<sst xmlns="http://schemas.openxmlformats.org/spreadsheetml/2006/main" count="402" uniqueCount="253">
  <si>
    <t xml:space="preserve">UF</t>
  </si>
  <si>
    <t xml:space="preserve">Município</t>
  </si>
  <si>
    <t xml:space="preserve">Latitude (DMS, fonte)</t>
  </si>
  <si>
    <t xml:space="preserve">Longitude (DMS, fonte)</t>
  </si>
  <si>
    <t xml:space="preserve">Latitude decimal</t>
  </si>
  <si>
    <t xml:space="preserve">Longitude decimal</t>
  </si>
  <si>
    <t xml:space="preserve">Altitude (m)</t>
  </si>
  <si>
    <t xml:space="preserve">Área infestada (ha)</t>
  </si>
  <si>
    <t xml:space="preserve">Nº triângulos</t>
  </si>
  <si>
    <t xml:space="preserve">Intensidade (fonte)</t>
  </si>
  <si>
    <t xml:space="preserve">QC / observação</t>
  </si>
  <si>
    <t xml:space="preserve">CE</t>
  </si>
  <si>
    <t xml:space="preserve">Acaraú</t>
  </si>
  <si>
    <t xml:space="preserve">02°53'23"S</t>
  </si>
  <si>
    <t xml:space="preserve">40°06'31"W</t>
  </si>
  <si>
    <t xml:space="preserve">Baixa</t>
  </si>
  <si>
    <t xml:space="preserve">Alto Santo</t>
  </si>
  <si>
    <t xml:space="preserve">05°24'06"S</t>
  </si>
  <si>
    <t xml:space="preserve">38°16'25"W</t>
  </si>
  <si>
    <t xml:space="preserve">Alta</t>
  </si>
  <si>
    <t xml:space="preserve">Amontada</t>
  </si>
  <si>
    <t xml:space="preserve">03°16'19"S</t>
  </si>
  <si>
    <t xml:space="preserve">39°54'52"W</t>
  </si>
  <si>
    <t xml:space="preserve">Aquiraz</t>
  </si>
  <si>
    <t xml:space="preserve">03°57'07"S</t>
  </si>
  <si>
    <t xml:space="preserve">38°27'15"W</t>
  </si>
  <si>
    <t xml:space="preserve">Extrema</t>
  </si>
  <si>
    <t xml:space="preserve">Aracati</t>
  </si>
  <si>
    <t xml:space="preserve">04°34'59"S</t>
  </si>
  <si>
    <t xml:space="preserve">37°46'49"W</t>
  </si>
  <si>
    <t xml:space="preserve">Média</t>
  </si>
  <si>
    <t xml:space="preserve">Barroquinha</t>
  </si>
  <si>
    <t xml:space="preserve">03°01'49"S</t>
  </si>
  <si>
    <t xml:space="preserve">41°06'07"W</t>
  </si>
  <si>
    <t xml:space="preserve">Beberibe</t>
  </si>
  <si>
    <t xml:space="preserve">04°32'07"S</t>
  </si>
  <si>
    <t xml:space="preserve">38°17'37"W</t>
  </si>
  <si>
    <t xml:space="preserve">Bela Cruz</t>
  </si>
  <si>
    <t xml:space="preserve">03°07'39"S</t>
  </si>
  <si>
    <t xml:space="preserve">40°09'05"W</t>
  </si>
  <si>
    <t xml:space="preserve">Camocim</t>
  </si>
  <si>
    <t xml:space="preserve">03°01'42"S</t>
  </si>
  <si>
    <t xml:space="preserve">41°05'41"W</t>
  </si>
  <si>
    <t xml:space="preserve">Canindé</t>
  </si>
  <si>
    <t xml:space="preserve">04°20'57"S</t>
  </si>
  <si>
    <t xml:space="preserve">39°18'33"W</t>
  </si>
  <si>
    <t xml:space="preserve">Capistrano</t>
  </si>
  <si>
    <t xml:space="preserve">04°29'43"S</t>
  </si>
  <si>
    <t xml:space="preserve">8°53'09"W</t>
  </si>
  <si>
    <t xml:space="preserve">Longitude geograficamente suspeita para o Nordeste; conferir fonte</t>
  </si>
  <si>
    <t xml:space="preserve">Cariré</t>
  </si>
  <si>
    <t xml:space="preserve">03°56'36"S</t>
  </si>
  <si>
    <t xml:space="preserve">40°28'55"W</t>
  </si>
  <si>
    <t xml:space="preserve">Cascavel</t>
  </si>
  <si>
    <t xml:space="preserve">04°11'07"S</t>
  </si>
  <si>
    <t xml:space="preserve">38°13'07"W</t>
  </si>
  <si>
    <t xml:space="preserve">Caucaia</t>
  </si>
  <si>
    <t xml:space="preserve">03°39'09"S</t>
  </si>
  <si>
    <t xml:space="preserve">38°49'21"W</t>
  </si>
  <si>
    <t xml:space="preserve">Chaval</t>
  </si>
  <si>
    <t xml:space="preserve">03°02'40"S</t>
  </si>
  <si>
    <t xml:space="preserve">41°14'11"W</t>
  </si>
  <si>
    <t xml:space="preserve">Chorozinho</t>
  </si>
  <si>
    <t xml:space="preserve">04°17'07"S</t>
  </si>
  <si>
    <t xml:space="preserve">38°30'03"W</t>
  </si>
  <si>
    <t xml:space="preserve">Coreaú</t>
  </si>
  <si>
    <t xml:space="preserve">03°38'06"S</t>
  </si>
  <si>
    <t xml:space="preserve">40°37'32"W</t>
  </si>
  <si>
    <t xml:space="preserve">Cruz</t>
  </si>
  <si>
    <t xml:space="preserve">02°54'09"S</t>
  </si>
  <si>
    <t xml:space="preserve">40°10'19"W</t>
  </si>
  <si>
    <t xml:space="preserve">Eusébio</t>
  </si>
  <si>
    <t xml:space="preserve">03°53'25"S</t>
  </si>
  <si>
    <t xml:space="preserve">38°27'50"W</t>
  </si>
  <si>
    <t xml:space="preserve">Frecheirinha</t>
  </si>
  <si>
    <t xml:space="preserve">03°46'07"S</t>
  </si>
  <si>
    <t xml:space="preserve">40°49'27"W</t>
  </si>
  <si>
    <t xml:space="preserve">Granja</t>
  </si>
  <si>
    <t xml:space="preserve">03°19'12"S</t>
  </si>
  <si>
    <t xml:space="preserve">40°59'11"W</t>
  </si>
  <si>
    <t xml:space="preserve">Groaíras</t>
  </si>
  <si>
    <t xml:space="preserve">03°54'31"S</t>
  </si>
  <si>
    <t xml:space="preserve">40°22'46"W</t>
  </si>
  <si>
    <t xml:space="preserve">Ibaretama</t>
  </si>
  <si>
    <t xml:space="preserve">04°45'13"S</t>
  </si>
  <si>
    <t xml:space="preserve">38°44'07"W</t>
  </si>
  <si>
    <t xml:space="preserve">Ibicuitinga</t>
  </si>
  <si>
    <t xml:space="preserve">05°00'24"S</t>
  </si>
  <si>
    <t xml:space="preserve">38°33'06"W</t>
  </si>
  <si>
    <t xml:space="preserve">Icó</t>
  </si>
  <si>
    <t xml:space="preserve">06°18'09"S</t>
  </si>
  <si>
    <t xml:space="preserve">38°43'09"W</t>
  </si>
  <si>
    <t xml:space="preserve">Itaiçaba</t>
  </si>
  <si>
    <t xml:space="preserve">04°42'27"S</t>
  </si>
  <si>
    <t xml:space="preserve">37°50'40"W</t>
  </si>
  <si>
    <t xml:space="preserve">Itapajé</t>
  </si>
  <si>
    <t xml:space="preserve">03°45'31"S</t>
  </si>
  <si>
    <t xml:space="preserve">39°28'04"W</t>
  </si>
  <si>
    <t xml:space="preserve">Itapipoca</t>
  </si>
  <si>
    <t xml:space="preserve">03°31'05"S</t>
  </si>
  <si>
    <t xml:space="preserve">39°29'36"W</t>
  </si>
  <si>
    <t xml:space="preserve">Itapiúna</t>
  </si>
  <si>
    <t xml:space="preserve">04°37'35"S</t>
  </si>
  <si>
    <t xml:space="preserve">38°55'08"W</t>
  </si>
  <si>
    <t xml:space="preserve">Itarema</t>
  </si>
  <si>
    <t xml:space="preserve">03°14'51"S</t>
  </si>
  <si>
    <t xml:space="preserve">39°54'53"W</t>
  </si>
  <si>
    <t xml:space="preserve">Itatira</t>
  </si>
  <si>
    <t xml:space="preserve">04°41'53"S</t>
  </si>
  <si>
    <t xml:space="preserve">39°27'47"W</t>
  </si>
  <si>
    <t xml:space="preserve">Jaguaruana</t>
  </si>
  <si>
    <t xml:space="preserve">Limoeiro do Norte</t>
  </si>
  <si>
    <t xml:space="preserve">05°06'06"S</t>
  </si>
  <si>
    <t xml:space="preserve">38°03'58"W</t>
  </si>
  <si>
    <t xml:space="preserve">Maranguape</t>
  </si>
  <si>
    <t xml:space="preserve">04°00'08"S</t>
  </si>
  <si>
    <t xml:space="preserve">38°56'39"W</t>
  </si>
  <si>
    <t xml:space="preserve">Marco</t>
  </si>
  <si>
    <t xml:space="preserve">Massapê</t>
  </si>
  <si>
    <t xml:space="preserve">03°24'44"S</t>
  </si>
  <si>
    <t xml:space="preserve">40°15'45"W</t>
  </si>
  <si>
    <t xml:space="preserve">Monsenhor Tabosa</t>
  </si>
  <si>
    <t xml:space="preserve">04°47'22"S</t>
  </si>
  <si>
    <t xml:space="preserve">40°03'38"W</t>
  </si>
  <si>
    <t xml:space="preserve">Morada Nova</t>
  </si>
  <si>
    <t xml:space="preserve">38°15'17"W</t>
  </si>
  <si>
    <t xml:space="preserve">Moraújo</t>
  </si>
  <si>
    <t xml:space="preserve">03°25'59"S</t>
  </si>
  <si>
    <t xml:space="preserve">40°40'44"W</t>
  </si>
  <si>
    <t xml:space="preserve">Morrinhos</t>
  </si>
  <si>
    <t xml:space="preserve">03°14'20"S</t>
  </si>
  <si>
    <t xml:space="preserve">40°07'00"W</t>
  </si>
  <si>
    <t xml:space="preserve">Mulungu</t>
  </si>
  <si>
    <t xml:space="preserve">04°18'20"S</t>
  </si>
  <si>
    <t xml:space="preserve">38°59'47"W</t>
  </si>
  <si>
    <t xml:space="preserve">Pacajus</t>
  </si>
  <si>
    <t xml:space="preserve">04°13'49"S</t>
  </si>
  <si>
    <t xml:space="preserve">38°28'06"W</t>
  </si>
  <si>
    <t xml:space="preserve">Pacatuba</t>
  </si>
  <si>
    <t xml:space="preserve">04°00'18"S</t>
  </si>
  <si>
    <t xml:space="preserve">38°35'09"W</t>
  </si>
  <si>
    <t xml:space="preserve">Palhano</t>
  </si>
  <si>
    <t xml:space="preserve">04°46'33"S</t>
  </si>
  <si>
    <t xml:space="preserve">38°02'09"W</t>
  </si>
  <si>
    <t xml:space="preserve">Palmácia</t>
  </si>
  <si>
    <t xml:space="preserve">04°15'13"S</t>
  </si>
  <si>
    <t xml:space="preserve">38°84'07"W</t>
  </si>
  <si>
    <t xml:space="preserve">DMS inválido no artigo (minuto/segundo ≥ 60)</t>
  </si>
  <si>
    <t xml:space="preserve">Paracuru</t>
  </si>
  <si>
    <t xml:space="preserve">03°34'57"S</t>
  </si>
  <si>
    <t xml:space="preserve">39°01'08"W</t>
  </si>
  <si>
    <t xml:space="preserve">Pentecostes</t>
  </si>
  <si>
    <t xml:space="preserve">03°47'21"S</t>
  </si>
  <si>
    <t xml:space="preserve">39°17'50"W</t>
  </si>
  <si>
    <t xml:space="preserve">Quixadá</t>
  </si>
  <si>
    <t xml:space="preserve">04°57'15"S</t>
  </si>
  <si>
    <t xml:space="preserve">39°01'07"W</t>
  </si>
  <si>
    <t xml:space="preserve">Quixeré</t>
  </si>
  <si>
    <t xml:space="preserve">05°04'09"S</t>
  </si>
  <si>
    <t xml:space="preserve">37°59'07"W</t>
  </si>
  <si>
    <t xml:space="preserve">Russas</t>
  </si>
  <si>
    <t xml:space="preserve">04°57'48"S</t>
  </si>
  <si>
    <t xml:space="preserve">37°59'08"W</t>
  </si>
  <si>
    <t xml:space="preserve">São Gonçalo do Amarante</t>
  </si>
  <si>
    <t xml:space="preserve">03°36'08"S</t>
  </si>
  <si>
    <t xml:space="preserve">38°57'08"W</t>
  </si>
  <si>
    <t xml:space="preserve">Santa Quitéria</t>
  </si>
  <si>
    <t xml:space="preserve">03°59'46"S</t>
  </si>
  <si>
    <t xml:space="preserve">40°05'07"W</t>
  </si>
  <si>
    <t xml:space="preserve">Santana do Acaraú</t>
  </si>
  <si>
    <t xml:space="preserve">03°26'18"S</t>
  </si>
  <si>
    <t xml:space="preserve">40°13'08"W</t>
  </si>
  <si>
    <t xml:space="preserve">São Luís do Curu</t>
  </si>
  <si>
    <t xml:space="preserve">03°40'46"S</t>
  </si>
  <si>
    <t xml:space="preserve">39°15'04"W</t>
  </si>
  <si>
    <t xml:space="preserve">Senador Pompeu</t>
  </si>
  <si>
    <t xml:space="preserve">05°31'06"S</t>
  </si>
  <si>
    <t xml:space="preserve">39°28'03"W</t>
  </si>
  <si>
    <t xml:space="preserve">Senador Sá</t>
  </si>
  <si>
    <t xml:space="preserve">03°20'48"S</t>
  </si>
  <si>
    <t xml:space="preserve">40°28'05"W</t>
  </si>
  <si>
    <t xml:space="preserve">Sobral</t>
  </si>
  <si>
    <t xml:space="preserve">03°57'58"S</t>
  </si>
  <si>
    <t xml:space="preserve">40°03'33"W</t>
  </si>
  <si>
    <t xml:space="preserve">Tabuleiro do Norte</t>
  </si>
  <si>
    <t xml:space="preserve">05°11'08"S</t>
  </si>
  <si>
    <t xml:space="preserve">38°07'23"W</t>
  </si>
  <si>
    <t xml:space="preserve">Trairi</t>
  </si>
  <si>
    <t xml:space="preserve">03°16'40"S</t>
  </si>
  <si>
    <t xml:space="preserve">39°16'08"W</t>
  </si>
  <si>
    <t xml:space="preserve">Tururu</t>
  </si>
  <si>
    <t xml:space="preserve">03°35'58"S</t>
  </si>
  <si>
    <t xml:space="preserve">39°26'44"W</t>
  </si>
  <si>
    <t xml:space="preserve">Umirim</t>
  </si>
  <si>
    <t xml:space="preserve">03°40'30"S</t>
  </si>
  <si>
    <t xml:space="preserve">39°14'31"W</t>
  </si>
  <si>
    <t xml:space="preserve">Uruoca</t>
  </si>
  <si>
    <t xml:space="preserve">03°18'58"S</t>
  </si>
  <si>
    <t xml:space="preserve">40°31'56"W</t>
  </si>
  <si>
    <t xml:space="preserve">Varjota</t>
  </si>
  <si>
    <t xml:space="preserve">04°14'40"S</t>
  </si>
  <si>
    <t xml:space="preserve">40°26'27"W</t>
  </si>
  <si>
    <t xml:space="preserve">Viçosa do Ceará</t>
  </si>
  <si>
    <t xml:space="preserve">03°24'07"S</t>
  </si>
  <si>
    <t xml:space="preserve">41°00'34"W</t>
  </si>
  <si>
    <t xml:space="preserve">PI</t>
  </si>
  <si>
    <t xml:space="preserve">Campo Maior</t>
  </si>
  <si>
    <t xml:space="preserve">04°46'51"S</t>
  </si>
  <si>
    <t xml:space="preserve">42°06'57"W</t>
  </si>
  <si>
    <t xml:space="preserve">Luís Correia</t>
  </si>
  <si>
    <t xml:space="preserve">02°53'47"S</t>
  </si>
  <si>
    <t xml:space="preserve">41°39'33"W</t>
  </si>
  <si>
    <t xml:space="preserve">Parnaíba</t>
  </si>
  <si>
    <t xml:space="preserve">02°54'14"S</t>
  </si>
  <si>
    <t xml:space="preserve">41°46'35"W</t>
  </si>
  <si>
    <t xml:space="preserve">Piracuruca</t>
  </si>
  <si>
    <t xml:space="preserve">03°55'41"S</t>
  </si>
  <si>
    <t xml:space="preserve">41°42'42"W</t>
  </si>
  <si>
    <t xml:space="preserve">Piripiri</t>
  </si>
  <si>
    <t xml:space="preserve">04°20'13"S</t>
  </si>
  <si>
    <t xml:space="preserve">41°47'44"W</t>
  </si>
  <si>
    <t xml:space="preserve">PB</t>
  </si>
  <si>
    <t xml:space="preserve">São João do Rio do Peixe</t>
  </si>
  <si>
    <t xml:space="preserve">06°46'08"S</t>
  </si>
  <si>
    <t xml:space="preserve">Sousa</t>
  </si>
  <si>
    <t xml:space="preserve">06°43'52"S</t>
  </si>
  <si>
    <t xml:space="preserve">38°15'40"W</t>
  </si>
  <si>
    <t xml:space="preserve">RN</t>
  </si>
  <si>
    <t xml:space="preserve">Apodi</t>
  </si>
  <si>
    <t xml:space="preserve">05°35'06"S</t>
  </si>
  <si>
    <t xml:space="preserve">37°49'08"W</t>
  </si>
  <si>
    <t xml:space="preserve">Felipe Guerra</t>
  </si>
  <si>
    <t xml:space="preserve">05°31'23"S</t>
  </si>
  <si>
    <t xml:space="preserve">37°38'30"W</t>
  </si>
  <si>
    <t xml:space="preserve">Item</t>
  </si>
  <si>
    <t xml:space="preserve">Informação</t>
  </si>
  <si>
    <t xml:space="preserve">Fonte</t>
  </si>
  <si>
    <t xml:space="preserve">Bonilla OH, Nascimento SF, Lucena EMP, Rebouças-Filho JS, Pinheiro HB. Distribuição e Intensidade de Invasão de Cryptostegia spp. em Quatro Estados no Nordeste do Brasil. Revista Brasileira de Geografia Física. 2023;16(2):986–1000.</t>
  </si>
  <si>
    <t xml:space="preserve">Tabela usada</t>
  </si>
  <si>
    <t xml:space="preserve">Tabela 1, páginas 991–992 do PDF fornecido pelo usuário.</t>
  </si>
  <si>
    <t xml:space="preserve">Número de localidades</t>
  </si>
  <si>
    <t xml:space="preserve">73 municípios: 64 CE, 5 PI, 2 PB e 2 RN.</t>
  </si>
  <si>
    <t xml:space="preserve">Intensidade</t>
  </si>
  <si>
    <t xml:space="preserve">Mantida conforme o número de triângulos mostrado na tabela original: 1=baixa, 2=média, 3=alta, 4=extrema.</t>
  </si>
  <si>
    <t xml:space="preserve">Coordenadas</t>
  </si>
  <si>
    <t xml:space="preserve">As colunas DMS reproduzem o artigo. As coordenadas decimais são conversões matemáticas, sem correção silenciosa de possíveis erros tipográficos.</t>
  </si>
  <si>
    <t xml:space="preserve">QC</t>
  </si>
  <si>
    <t xml:space="preserve">Capistrano aparece no artigo com longitude 8°53'09"W (geograficamente suspeita). Palmácia aparece com 38°84'07"W (DMS inválido). Ambas devem ser verificadas em fonte independente antes de uso no ERA5-Land.</t>
  </si>
  <si>
    <t xml:space="preserve">Observação</t>
  </si>
  <si>
    <t xml:space="preserve">Itaiçaba e Jaguaruana aparecem com as mesmas coordenadas no artigo; os valores foram mantidos como publicados e sinalizados para posterior checagem.</t>
  </si>
  <si>
    <t xml:space="preserve">Nº localidades</t>
  </si>
  <si>
    <t xml:space="preserve">Área infestada total (ha)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</si>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</sst>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365F91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color rgb="FF9C65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ryptostegiaTable" displayName="CryptostegiaTable" ref="A1:K74" headerRowCount="1" totalsRowCount="0" totalsRowShown="0">
  <tableColumns count="11">
    <tableColumn id="1" name="UF"/>
    <tableColumn id="2" name="Município"/>
    <tableColumn id="3" name="Latitude (DMS, fonte)"/>
    <tableColumn id="4" name="Longitude (DMS, fonte)"/>
    <tableColumn id="5" name="Latitude decimal"/>
    <tableColumn id="6" name="Longitude decimal"/>
    <tableColumn id="7" name="Altitude (m)"/>
    <tableColumn id="8" name="Área infestada (ha)"/>
    <tableColumn id="9" name="Nº triângulos"/>
    <tableColumn id="10" name="Intensidade (fonte)"/>
    <tableColumn id="11" name="QC / observaçã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n">
        <v>-2.88972222222222</v>
      </c>
      <c r="F2" s="3" t="n">
        <v>-40.1086111111111</v>
      </c>
      <c r="G2" s="4" t="n">
        <v>24</v>
      </c>
      <c r="H2" s="4" t="n">
        <v>5</v>
      </c>
      <c r="I2" s="2" t="n">
        <v>1</v>
      </c>
      <c r="J2" s="2" t="s">
        <v>15</v>
      </c>
      <c r="K2" s="2"/>
    </row>
    <row r="3" customFormat="false" ht="15" hidden="false" customHeight="false" outlineLevel="0" collapsed="false">
      <c r="A3" s="2" t="s">
        <v>11</v>
      </c>
      <c r="B3" s="2" t="s">
        <v>16</v>
      </c>
      <c r="C3" s="2" t="s">
        <v>17</v>
      </c>
      <c r="D3" s="2" t="s">
        <v>18</v>
      </c>
      <c r="E3" s="3" t="n">
        <v>-5.40166666666667</v>
      </c>
      <c r="F3" s="3" t="n">
        <v>-38.2736111111111</v>
      </c>
      <c r="G3" s="4" t="n">
        <v>81</v>
      </c>
      <c r="H3" s="4" t="n">
        <v>25</v>
      </c>
      <c r="I3" s="2" t="n">
        <v>3</v>
      </c>
      <c r="J3" s="2" t="s">
        <v>19</v>
      </c>
      <c r="K3" s="2"/>
    </row>
    <row r="4" customFormat="false" ht="15" hidden="false" customHeight="false" outlineLevel="0" collapsed="false">
      <c r="A4" s="2" t="s">
        <v>11</v>
      </c>
      <c r="B4" s="2" t="s">
        <v>20</v>
      </c>
      <c r="C4" s="2" t="s">
        <v>21</v>
      </c>
      <c r="D4" s="2" t="s">
        <v>22</v>
      </c>
      <c r="E4" s="3" t="n">
        <v>-3.27194444444444</v>
      </c>
      <c r="F4" s="3" t="n">
        <v>-39.9144444444444</v>
      </c>
      <c r="G4" s="4" t="n">
        <v>45</v>
      </c>
      <c r="H4" s="4" t="n">
        <v>35</v>
      </c>
      <c r="I4" s="2" t="n">
        <v>3</v>
      </c>
      <c r="J4" s="2" t="s">
        <v>19</v>
      </c>
      <c r="K4" s="2"/>
    </row>
    <row r="5" customFormat="false" ht="15" hidden="false" customHeight="false" outlineLevel="0" collapsed="false">
      <c r="A5" s="2" t="s">
        <v>11</v>
      </c>
      <c r="B5" s="2" t="s">
        <v>23</v>
      </c>
      <c r="C5" s="2" t="s">
        <v>24</v>
      </c>
      <c r="D5" s="2" t="s">
        <v>25</v>
      </c>
      <c r="E5" s="3" t="n">
        <v>-3.95194444444444</v>
      </c>
      <c r="F5" s="3" t="n">
        <v>-38.4541666666667</v>
      </c>
      <c r="G5" s="4" t="n">
        <v>32</v>
      </c>
      <c r="H5" s="4" t="n">
        <v>45</v>
      </c>
      <c r="I5" s="2" t="n">
        <v>4</v>
      </c>
      <c r="J5" s="2" t="s">
        <v>26</v>
      </c>
      <c r="K5" s="2"/>
    </row>
    <row r="6" customFormat="false" ht="15" hidden="false" customHeight="false" outlineLevel="0" collapsed="false">
      <c r="A6" s="2" t="s">
        <v>11</v>
      </c>
      <c r="B6" s="2" t="s">
        <v>27</v>
      </c>
      <c r="C6" s="2" t="s">
        <v>28</v>
      </c>
      <c r="D6" s="2" t="s">
        <v>29</v>
      </c>
      <c r="E6" s="3" t="n">
        <v>-4.58305555555556</v>
      </c>
      <c r="F6" s="3" t="n">
        <v>-37.7802777777778</v>
      </c>
      <c r="G6" s="4" t="n">
        <v>10</v>
      </c>
      <c r="H6" s="4" t="n">
        <v>10</v>
      </c>
      <c r="I6" s="2" t="n">
        <v>2</v>
      </c>
      <c r="J6" s="2" t="s">
        <v>30</v>
      </c>
      <c r="K6" s="2"/>
    </row>
    <row r="7" customFormat="false" ht="15" hidden="false" customHeight="false" outlineLevel="0" collapsed="false">
      <c r="A7" s="2" t="s">
        <v>11</v>
      </c>
      <c r="B7" s="2" t="s">
        <v>31</v>
      </c>
      <c r="C7" s="2" t="s">
        <v>32</v>
      </c>
      <c r="D7" s="2" t="s">
        <v>33</v>
      </c>
      <c r="E7" s="3" t="n">
        <v>-3.03027777777778</v>
      </c>
      <c r="F7" s="3" t="n">
        <v>-41.1019444444445</v>
      </c>
      <c r="G7" s="4" t="n">
        <v>10</v>
      </c>
      <c r="H7" s="4" t="n">
        <v>25</v>
      </c>
      <c r="I7" s="2" t="n">
        <v>3</v>
      </c>
      <c r="J7" s="2" t="s">
        <v>19</v>
      </c>
      <c r="K7" s="2"/>
    </row>
    <row r="8" customFormat="false" ht="15" hidden="false" customHeight="false" outlineLevel="0" collapsed="false">
      <c r="A8" s="2" t="s">
        <v>11</v>
      </c>
      <c r="B8" s="2" t="s">
        <v>34</v>
      </c>
      <c r="C8" s="2" t="s">
        <v>35</v>
      </c>
      <c r="D8" s="2" t="s">
        <v>36</v>
      </c>
      <c r="E8" s="3" t="n">
        <v>-4.53527777777778</v>
      </c>
      <c r="F8" s="3" t="n">
        <v>-38.2936111111111</v>
      </c>
      <c r="G8" s="4" t="n">
        <v>103</v>
      </c>
      <c r="H8" s="4" t="n">
        <v>30</v>
      </c>
      <c r="I8" s="2" t="n">
        <v>3</v>
      </c>
      <c r="J8" s="2" t="s">
        <v>19</v>
      </c>
      <c r="K8" s="2"/>
    </row>
    <row r="9" customFormat="false" ht="15" hidden="false" customHeight="false" outlineLevel="0" collapsed="false">
      <c r="A9" s="2" t="s">
        <v>11</v>
      </c>
      <c r="B9" s="2" t="s">
        <v>37</v>
      </c>
      <c r="C9" s="2" t="s">
        <v>38</v>
      </c>
      <c r="D9" s="2" t="s">
        <v>39</v>
      </c>
      <c r="E9" s="3" t="n">
        <v>-3.1275</v>
      </c>
      <c r="F9" s="3" t="n">
        <v>-40.1513888888889</v>
      </c>
      <c r="G9" s="4" t="n">
        <v>26</v>
      </c>
      <c r="H9" s="4" t="n">
        <v>30</v>
      </c>
      <c r="I9" s="2" t="n">
        <v>3</v>
      </c>
      <c r="J9" s="2" t="s">
        <v>19</v>
      </c>
      <c r="K9" s="2"/>
    </row>
    <row r="10" customFormat="false" ht="15" hidden="false" customHeight="false" outlineLevel="0" collapsed="false">
      <c r="A10" s="2" t="s">
        <v>11</v>
      </c>
      <c r="B10" s="2" t="s">
        <v>40</v>
      </c>
      <c r="C10" s="2" t="s">
        <v>41</v>
      </c>
      <c r="D10" s="2" t="s">
        <v>42</v>
      </c>
      <c r="E10" s="3" t="n">
        <v>-3.02833333333333</v>
      </c>
      <c r="F10" s="3" t="n">
        <v>-41.0947222222222</v>
      </c>
      <c r="G10" s="4" t="n">
        <v>10</v>
      </c>
      <c r="H10" s="4" t="n">
        <v>30</v>
      </c>
      <c r="I10" s="2" t="n">
        <v>3</v>
      </c>
      <c r="J10" s="2" t="s">
        <v>19</v>
      </c>
      <c r="K10" s="2"/>
    </row>
    <row r="11" customFormat="false" ht="15" hidden="false" customHeight="false" outlineLevel="0" collapsed="false">
      <c r="A11" s="2" t="s">
        <v>11</v>
      </c>
      <c r="B11" s="2" t="s">
        <v>43</v>
      </c>
      <c r="C11" s="2" t="s">
        <v>44</v>
      </c>
      <c r="D11" s="2" t="s">
        <v>45</v>
      </c>
      <c r="E11" s="3" t="n">
        <v>-4.34916666666667</v>
      </c>
      <c r="F11" s="3" t="n">
        <v>-39.3091666666667</v>
      </c>
      <c r="G11" s="4" t="n">
        <v>161</v>
      </c>
      <c r="H11" s="4" t="n">
        <v>13</v>
      </c>
      <c r="I11" s="2" t="n">
        <v>3</v>
      </c>
      <c r="J11" s="2" t="s">
        <v>19</v>
      </c>
      <c r="K11" s="2"/>
    </row>
    <row r="12" customFormat="false" ht="23.3" hidden="false" customHeight="false" outlineLevel="0" collapsed="false">
      <c r="A12" s="2" t="s">
        <v>11</v>
      </c>
      <c r="B12" s="2" t="s">
        <v>46</v>
      </c>
      <c r="C12" s="2" t="s">
        <v>47</v>
      </c>
      <c r="D12" s="2" t="s">
        <v>48</v>
      </c>
      <c r="E12" s="3" t="n">
        <v>-4.49527777777778</v>
      </c>
      <c r="F12" s="3" t="n">
        <v>-8.88583333333333</v>
      </c>
      <c r="G12" s="4" t="n">
        <v>216</v>
      </c>
      <c r="H12" s="4" t="n">
        <v>5</v>
      </c>
      <c r="I12" s="2" t="n">
        <v>1</v>
      </c>
      <c r="J12" s="2" t="s">
        <v>15</v>
      </c>
      <c r="K12" s="2" t="s">
        <v>49</v>
      </c>
    </row>
    <row r="13" customFormat="false" ht="15" hidden="false" customHeight="false" outlineLevel="0" collapsed="false">
      <c r="A13" s="2" t="s">
        <v>11</v>
      </c>
      <c r="B13" s="2" t="s">
        <v>50</v>
      </c>
      <c r="C13" s="2" t="s">
        <v>51</v>
      </c>
      <c r="D13" s="2" t="s">
        <v>52</v>
      </c>
      <c r="E13" s="3" t="n">
        <v>-3.94333333333333</v>
      </c>
      <c r="F13" s="3" t="n">
        <v>-40.4819444444444</v>
      </c>
      <c r="G13" s="4" t="n">
        <v>149</v>
      </c>
      <c r="H13" s="4" t="n">
        <v>3</v>
      </c>
      <c r="I13" s="2" t="n">
        <v>1</v>
      </c>
      <c r="J13" s="2" t="s">
        <v>15</v>
      </c>
      <c r="K13" s="2"/>
    </row>
    <row r="14" customFormat="false" ht="15" hidden="false" customHeight="false" outlineLevel="0" collapsed="false">
      <c r="A14" s="2" t="s">
        <v>11</v>
      </c>
      <c r="B14" s="2" t="s">
        <v>53</v>
      </c>
      <c r="C14" s="2" t="s">
        <v>54</v>
      </c>
      <c r="D14" s="2" t="s">
        <v>55</v>
      </c>
      <c r="E14" s="3" t="n">
        <v>-4.18527777777778</v>
      </c>
      <c r="F14" s="3" t="n">
        <v>-38.2186111111111</v>
      </c>
      <c r="G14" s="4" t="n">
        <v>14</v>
      </c>
      <c r="H14" s="4" t="n">
        <v>30</v>
      </c>
      <c r="I14" s="2" t="n">
        <v>3</v>
      </c>
      <c r="J14" s="2" t="s">
        <v>19</v>
      </c>
      <c r="K14" s="2"/>
    </row>
    <row r="15" customFormat="false" ht="15" hidden="false" customHeight="false" outlineLevel="0" collapsed="false">
      <c r="A15" s="2" t="s">
        <v>11</v>
      </c>
      <c r="B15" s="2" t="s">
        <v>56</v>
      </c>
      <c r="C15" s="2" t="s">
        <v>57</v>
      </c>
      <c r="D15" s="2" t="s">
        <v>58</v>
      </c>
      <c r="E15" s="3" t="n">
        <v>-3.6525</v>
      </c>
      <c r="F15" s="3" t="n">
        <v>-38.8225</v>
      </c>
      <c r="G15" s="4" t="n">
        <v>49</v>
      </c>
      <c r="H15" s="4" t="n">
        <v>60</v>
      </c>
      <c r="I15" s="2" t="n">
        <v>4</v>
      </c>
      <c r="J15" s="2" t="s">
        <v>26</v>
      </c>
      <c r="K15" s="2"/>
    </row>
    <row r="16" customFormat="false" ht="15" hidden="false" customHeight="false" outlineLevel="0" collapsed="false">
      <c r="A16" s="2" t="s">
        <v>11</v>
      </c>
      <c r="B16" s="2" t="s">
        <v>59</v>
      </c>
      <c r="C16" s="2" t="s">
        <v>60</v>
      </c>
      <c r="D16" s="2" t="s">
        <v>61</v>
      </c>
      <c r="E16" s="3" t="n">
        <v>-3.04444444444444</v>
      </c>
      <c r="F16" s="3" t="n">
        <v>-41.2363888888889</v>
      </c>
      <c r="G16" s="4" t="n">
        <v>9</v>
      </c>
      <c r="H16" s="4" t="n">
        <v>50</v>
      </c>
      <c r="I16" s="2" t="n">
        <v>4</v>
      </c>
      <c r="J16" s="2" t="s">
        <v>26</v>
      </c>
      <c r="K16" s="2"/>
    </row>
    <row r="17" customFormat="false" ht="15" hidden="false" customHeight="false" outlineLevel="0" collapsed="false">
      <c r="A17" s="2" t="s">
        <v>11</v>
      </c>
      <c r="B17" s="2" t="s">
        <v>62</v>
      </c>
      <c r="C17" s="2" t="s">
        <v>63</v>
      </c>
      <c r="D17" s="2" t="s">
        <v>64</v>
      </c>
      <c r="E17" s="3" t="n">
        <v>-4.28527777777778</v>
      </c>
      <c r="F17" s="3" t="n">
        <v>-38.5008333333333</v>
      </c>
      <c r="G17" s="4" t="n">
        <v>50</v>
      </c>
      <c r="H17" s="4" t="n">
        <v>20</v>
      </c>
      <c r="I17" s="2" t="n">
        <v>2</v>
      </c>
      <c r="J17" s="2" t="s">
        <v>30</v>
      </c>
      <c r="K17" s="2"/>
    </row>
    <row r="18" customFormat="false" ht="15" hidden="false" customHeight="false" outlineLevel="0" collapsed="false">
      <c r="A18" s="2" t="s">
        <v>11</v>
      </c>
      <c r="B18" s="2" t="s">
        <v>65</v>
      </c>
      <c r="C18" s="2" t="s">
        <v>66</v>
      </c>
      <c r="D18" s="2" t="s">
        <v>67</v>
      </c>
      <c r="E18" s="3" t="n">
        <v>-3.635</v>
      </c>
      <c r="F18" s="3" t="n">
        <v>-40.6255555555556</v>
      </c>
      <c r="G18" s="4" t="n">
        <v>127</v>
      </c>
      <c r="H18" s="4" t="n">
        <v>8</v>
      </c>
      <c r="I18" s="2" t="n">
        <v>2</v>
      </c>
      <c r="J18" s="2" t="s">
        <v>30</v>
      </c>
      <c r="K18" s="2"/>
    </row>
    <row r="19" customFormat="false" ht="15" hidden="false" customHeight="false" outlineLevel="0" collapsed="false">
      <c r="A19" s="2" t="s">
        <v>11</v>
      </c>
      <c r="B19" s="2" t="s">
        <v>68</v>
      </c>
      <c r="C19" s="2" t="s">
        <v>69</v>
      </c>
      <c r="D19" s="2" t="s">
        <v>70</v>
      </c>
      <c r="E19" s="3" t="n">
        <v>-2.9025</v>
      </c>
      <c r="F19" s="3" t="n">
        <v>-40.1719444444444</v>
      </c>
      <c r="G19" s="4" t="n">
        <v>15</v>
      </c>
      <c r="H19" s="4" t="n">
        <v>5</v>
      </c>
      <c r="I19" s="2" t="n">
        <v>1</v>
      </c>
      <c r="J19" s="2" t="s">
        <v>15</v>
      </c>
      <c r="K19" s="2"/>
    </row>
    <row r="20" customFormat="false" ht="15" hidden="false" customHeight="false" outlineLevel="0" collapsed="false">
      <c r="A20" s="2" t="s">
        <v>11</v>
      </c>
      <c r="B20" s="2" t="s">
        <v>71</v>
      </c>
      <c r="C20" s="2" t="s">
        <v>72</v>
      </c>
      <c r="D20" s="2" t="s">
        <v>73</v>
      </c>
      <c r="E20" s="3" t="n">
        <v>-3.89027777777778</v>
      </c>
      <c r="F20" s="3" t="n">
        <v>-38.4638888888889</v>
      </c>
      <c r="G20" s="4" t="n">
        <v>26</v>
      </c>
      <c r="H20" s="4" t="n">
        <v>15</v>
      </c>
      <c r="I20" s="2" t="n">
        <v>2</v>
      </c>
      <c r="J20" s="2" t="s">
        <v>30</v>
      </c>
      <c r="K20" s="2"/>
    </row>
    <row r="21" customFormat="false" ht="15" hidden="false" customHeight="false" outlineLevel="0" collapsed="false">
      <c r="A21" s="2" t="s">
        <v>11</v>
      </c>
      <c r="B21" s="2" t="s">
        <v>74</v>
      </c>
      <c r="C21" s="2" t="s">
        <v>75</v>
      </c>
      <c r="D21" s="2" t="s">
        <v>76</v>
      </c>
      <c r="E21" s="3" t="n">
        <v>-3.76861111111111</v>
      </c>
      <c r="F21" s="3" t="n">
        <v>-40.8241666666667</v>
      </c>
      <c r="G21" s="4" t="n">
        <v>123</v>
      </c>
      <c r="H21" s="4" t="n">
        <v>5</v>
      </c>
      <c r="I21" s="2" t="n">
        <v>1</v>
      </c>
      <c r="J21" s="2" t="s">
        <v>15</v>
      </c>
      <c r="K21" s="2"/>
    </row>
    <row r="22" customFormat="false" ht="15" hidden="false" customHeight="false" outlineLevel="0" collapsed="false">
      <c r="A22" s="2" t="s">
        <v>11</v>
      </c>
      <c r="B22" s="2" t="s">
        <v>77</v>
      </c>
      <c r="C22" s="2" t="s">
        <v>78</v>
      </c>
      <c r="D22" s="2" t="s">
        <v>79</v>
      </c>
      <c r="E22" s="3" t="n">
        <v>-3.32</v>
      </c>
      <c r="F22" s="3" t="n">
        <v>-40.9863888888889</v>
      </c>
      <c r="G22" s="4" t="n">
        <v>77</v>
      </c>
      <c r="H22" s="4" t="n">
        <v>50</v>
      </c>
      <c r="I22" s="2" t="n">
        <v>4</v>
      </c>
      <c r="J22" s="2" t="s">
        <v>26</v>
      </c>
      <c r="K22" s="2"/>
    </row>
    <row r="23" customFormat="false" ht="15" hidden="false" customHeight="false" outlineLevel="0" collapsed="false">
      <c r="A23" s="2" t="s">
        <v>11</v>
      </c>
      <c r="B23" s="2" t="s">
        <v>80</v>
      </c>
      <c r="C23" s="2" t="s">
        <v>81</v>
      </c>
      <c r="D23" s="2" t="s">
        <v>82</v>
      </c>
      <c r="E23" s="3" t="n">
        <v>-3.90861111111111</v>
      </c>
      <c r="F23" s="3" t="n">
        <v>-40.3794444444444</v>
      </c>
      <c r="G23" s="4" t="n">
        <v>70</v>
      </c>
      <c r="H23" s="4" t="n">
        <v>5</v>
      </c>
      <c r="I23" s="2" t="n">
        <v>1</v>
      </c>
      <c r="J23" s="2" t="s">
        <v>15</v>
      </c>
      <c r="K23" s="2"/>
    </row>
    <row r="24" customFormat="false" ht="15" hidden="false" customHeight="false" outlineLevel="0" collapsed="false">
      <c r="A24" s="2" t="s">
        <v>11</v>
      </c>
      <c r="B24" s="2" t="s">
        <v>83</v>
      </c>
      <c r="C24" s="2" t="s">
        <v>84</v>
      </c>
      <c r="D24" s="2" t="s">
        <v>85</v>
      </c>
      <c r="E24" s="3" t="n">
        <v>-4.75361111111111</v>
      </c>
      <c r="F24" s="3" t="n">
        <v>-38.7352777777778</v>
      </c>
      <c r="G24" s="4" t="n">
        <v>115</v>
      </c>
      <c r="H24" s="4" t="n">
        <v>40</v>
      </c>
      <c r="I24" s="2" t="n">
        <v>3</v>
      </c>
      <c r="J24" s="2" t="s">
        <v>19</v>
      </c>
      <c r="K24" s="2"/>
    </row>
    <row r="25" customFormat="false" ht="15" hidden="false" customHeight="false" outlineLevel="0" collapsed="false">
      <c r="A25" s="2" t="s">
        <v>11</v>
      </c>
      <c r="B25" s="2" t="s">
        <v>86</v>
      </c>
      <c r="C25" s="2" t="s">
        <v>87</v>
      </c>
      <c r="D25" s="2" t="s">
        <v>88</v>
      </c>
      <c r="E25" s="3" t="n">
        <v>-5.00666666666667</v>
      </c>
      <c r="F25" s="3" t="n">
        <v>-38.5516666666667</v>
      </c>
      <c r="G25" s="4" t="n">
        <v>9.7</v>
      </c>
      <c r="H25" s="4" t="n">
        <v>3</v>
      </c>
      <c r="I25" s="2" t="n">
        <v>1</v>
      </c>
      <c r="J25" s="2" t="s">
        <v>15</v>
      </c>
      <c r="K25" s="2"/>
    </row>
    <row r="26" customFormat="false" ht="15" hidden="false" customHeight="false" outlineLevel="0" collapsed="false">
      <c r="A26" s="2" t="s">
        <v>11</v>
      </c>
      <c r="B26" s="2" t="s">
        <v>89</v>
      </c>
      <c r="C26" s="2" t="s">
        <v>90</v>
      </c>
      <c r="D26" s="2" t="s">
        <v>91</v>
      </c>
      <c r="E26" s="3" t="n">
        <v>-6.3025</v>
      </c>
      <c r="F26" s="3" t="n">
        <v>-38.7191666666667</v>
      </c>
      <c r="G26" s="4" t="n">
        <v>203</v>
      </c>
      <c r="H26" s="4" t="n">
        <v>5</v>
      </c>
      <c r="I26" s="2" t="n">
        <v>1</v>
      </c>
      <c r="J26" s="2" t="s">
        <v>15</v>
      </c>
      <c r="K26" s="2"/>
    </row>
    <row r="27" customFormat="false" ht="15" hidden="false" customHeight="false" outlineLevel="0" collapsed="false">
      <c r="A27" s="2" t="s">
        <v>11</v>
      </c>
      <c r="B27" s="2" t="s">
        <v>92</v>
      </c>
      <c r="C27" s="2" t="s">
        <v>93</v>
      </c>
      <c r="D27" s="2" t="s">
        <v>94</v>
      </c>
      <c r="E27" s="3" t="n">
        <v>-4.7075</v>
      </c>
      <c r="F27" s="3" t="n">
        <v>-37.8444444444445</v>
      </c>
      <c r="G27" s="4" t="n">
        <v>18</v>
      </c>
      <c r="H27" s="4" t="n">
        <v>20</v>
      </c>
      <c r="I27" s="2" t="n">
        <v>2</v>
      </c>
      <c r="J27" s="2" t="s">
        <v>30</v>
      </c>
      <c r="K27" s="2"/>
    </row>
    <row r="28" customFormat="false" ht="15" hidden="false" customHeight="false" outlineLevel="0" collapsed="false">
      <c r="A28" s="2" t="s">
        <v>11</v>
      </c>
      <c r="B28" s="2" t="s">
        <v>95</v>
      </c>
      <c r="C28" s="2" t="s">
        <v>96</v>
      </c>
      <c r="D28" s="2" t="s">
        <v>97</v>
      </c>
      <c r="E28" s="3" t="n">
        <v>-3.75861111111111</v>
      </c>
      <c r="F28" s="3" t="n">
        <v>-39.4677777777778</v>
      </c>
      <c r="G28" s="4" t="n">
        <v>247</v>
      </c>
      <c r="H28" s="4" t="n">
        <v>6</v>
      </c>
      <c r="I28" s="2" t="n">
        <v>1</v>
      </c>
      <c r="J28" s="2" t="s">
        <v>15</v>
      </c>
      <c r="K28" s="2"/>
    </row>
    <row r="29" customFormat="false" ht="15" hidden="false" customHeight="false" outlineLevel="0" collapsed="false">
      <c r="A29" s="2" t="s">
        <v>11</v>
      </c>
      <c r="B29" s="2" t="s">
        <v>98</v>
      </c>
      <c r="C29" s="2" t="s">
        <v>99</v>
      </c>
      <c r="D29" s="2" t="s">
        <v>100</v>
      </c>
      <c r="E29" s="3" t="n">
        <v>-3.51805555555556</v>
      </c>
      <c r="F29" s="3" t="n">
        <v>-39.4933333333333</v>
      </c>
      <c r="G29" s="4" t="n">
        <v>87</v>
      </c>
      <c r="H29" s="4" t="n">
        <v>6</v>
      </c>
      <c r="I29" s="2" t="n">
        <v>1</v>
      </c>
      <c r="J29" s="2" t="s">
        <v>15</v>
      </c>
      <c r="K29" s="2"/>
    </row>
    <row r="30" customFormat="false" ht="15" hidden="false" customHeight="false" outlineLevel="0" collapsed="false">
      <c r="A30" s="2" t="s">
        <v>11</v>
      </c>
      <c r="B30" s="2" t="s">
        <v>101</v>
      </c>
      <c r="C30" s="2" t="s">
        <v>102</v>
      </c>
      <c r="D30" s="2" t="s">
        <v>103</v>
      </c>
      <c r="E30" s="3" t="n">
        <v>-4.62638888888889</v>
      </c>
      <c r="F30" s="3" t="n">
        <v>-38.9188888888889</v>
      </c>
      <c r="G30" s="4" t="n">
        <v>149</v>
      </c>
      <c r="H30" s="4" t="n">
        <v>5</v>
      </c>
      <c r="I30" s="2" t="n">
        <v>1</v>
      </c>
      <c r="J30" s="2" t="s">
        <v>15</v>
      </c>
      <c r="K30" s="2"/>
    </row>
    <row r="31" customFormat="false" ht="15" hidden="false" customHeight="false" outlineLevel="0" collapsed="false">
      <c r="A31" s="2" t="s">
        <v>11</v>
      </c>
      <c r="B31" s="2" t="s">
        <v>104</v>
      </c>
      <c r="C31" s="2" t="s">
        <v>105</v>
      </c>
      <c r="D31" s="2" t="s">
        <v>106</v>
      </c>
      <c r="E31" s="3" t="n">
        <v>-3.2475</v>
      </c>
      <c r="F31" s="3" t="n">
        <v>-39.9147222222222</v>
      </c>
      <c r="G31" s="4" t="n">
        <v>42</v>
      </c>
      <c r="H31" s="4" t="n">
        <v>4</v>
      </c>
      <c r="I31" s="2" t="n">
        <v>1</v>
      </c>
      <c r="J31" s="2" t="s">
        <v>15</v>
      </c>
      <c r="K31" s="2"/>
    </row>
    <row r="32" customFormat="false" ht="15" hidden="false" customHeight="false" outlineLevel="0" collapsed="false">
      <c r="A32" s="2" t="s">
        <v>11</v>
      </c>
      <c r="B32" s="2" t="s">
        <v>107</v>
      </c>
      <c r="C32" s="2" t="s">
        <v>108</v>
      </c>
      <c r="D32" s="2" t="s">
        <v>109</v>
      </c>
      <c r="E32" s="3" t="n">
        <v>-4.69805555555556</v>
      </c>
      <c r="F32" s="3" t="n">
        <v>-39.4630555555556</v>
      </c>
      <c r="G32" s="4" t="n">
        <v>355</v>
      </c>
      <c r="H32" s="4" t="n">
        <v>5</v>
      </c>
      <c r="I32" s="2" t="n">
        <v>1</v>
      </c>
      <c r="J32" s="2" t="s">
        <v>15</v>
      </c>
      <c r="K32" s="2"/>
    </row>
    <row r="33" customFormat="false" ht="15" hidden="false" customHeight="false" outlineLevel="0" collapsed="false">
      <c r="A33" s="2" t="s">
        <v>11</v>
      </c>
      <c r="B33" s="2" t="s">
        <v>110</v>
      </c>
      <c r="C33" s="2" t="s">
        <v>93</v>
      </c>
      <c r="D33" s="2" t="s">
        <v>94</v>
      </c>
      <c r="E33" s="3" t="n">
        <v>-4.7075</v>
      </c>
      <c r="F33" s="3" t="n">
        <v>-37.8444444444445</v>
      </c>
      <c r="G33" s="4" t="n">
        <v>18</v>
      </c>
      <c r="H33" s="4" t="n">
        <v>50</v>
      </c>
      <c r="I33" s="2" t="n">
        <v>4</v>
      </c>
      <c r="J33" s="2" t="s">
        <v>26</v>
      </c>
      <c r="K33" s="2"/>
    </row>
    <row r="34" customFormat="false" ht="15" hidden="false" customHeight="false" outlineLevel="0" collapsed="false">
      <c r="A34" s="2" t="s">
        <v>11</v>
      </c>
      <c r="B34" s="2" t="s">
        <v>111</v>
      </c>
      <c r="C34" s="2" t="s">
        <v>112</v>
      </c>
      <c r="D34" s="2" t="s">
        <v>113</v>
      </c>
      <c r="E34" s="3" t="n">
        <v>-5.10166666666667</v>
      </c>
      <c r="F34" s="3" t="n">
        <v>-38.0661111111111</v>
      </c>
      <c r="G34" s="4" t="n">
        <v>47</v>
      </c>
      <c r="H34" s="4" t="n">
        <v>45</v>
      </c>
      <c r="I34" s="2" t="n">
        <v>4</v>
      </c>
      <c r="J34" s="2" t="s">
        <v>26</v>
      </c>
      <c r="K34" s="2"/>
    </row>
    <row r="35" customFormat="false" ht="15" hidden="false" customHeight="false" outlineLevel="0" collapsed="false">
      <c r="A35" s="2" t="s">
        <v>11</v>
      </c>
      <c r="B35" s="2" t="s">
        <v>114</v>
      </c>
      <c r="C35" s="2" t="s">
        <v>115</v>
      </c>
      <c r="D35" s="2" t="s">
        <v>116</v>
      </c>
      <c r="E35" s="3" t="n">
        <v>-4.00222222222222</v>
      </c>
      <c r="F35" s="3" t="n">
        <v>-38.9441666666667</v>
      </c>
      <c r="G35" s="4" t="n">
        <v>96</v>
      </c>
      <c r="H35" s="4" t="n">
        <v>5</v>
      </c>
      <c r="I35" s="2" t="n">
        <v>1</v>
      </c>
      <c r="J35" s="2" t="s">
        <v>15</v>
      </c>
      <c r="K35" s="2"/>
    </row>
    <row r="36" customFormat="false" ht="15" hidden="false" customHeight="false" outlineLevel="0" collapsed="false">
      <c r="A36" s="2" t="s">
        <v>11</v>
      </c>
      <c r="B36" s="2" t="s">
        <v>117</v>
      </c>
      <c r="C36" s="2" t="s">
        <v>38</v>
      </c>
      <c r="D36" s="2" t="s">
        <v>39</v>
      </c>
      <c r="E36" s="3" t="n">
        <v>-3.1275</v>
      </c>
      <c r="F36" s="3" t="n">
        <v>-40.1513888888889</v>
      </c>
      <c r="G36" s="4" t="n">
        <v>26</v>
      </c>
      <c r="H36" s="4" t="n">
        <v>40</v>
      </c>
      <c r="I36" s="2" t="n">
        <v>3</v>
      </c>
      <c r="J36" s="2" t="s">
        <v>19</v>
      </c>
      <c r="K36" s="2"/>
    </row>
    <row r="37" customFormat="false" ht="15" hidden="false" customHeight="false" outlineLevel="0" collapsed="false">
      <c r="A37" s="2" t="s">
        <v>11</v>
      </c>
      <c r="B37" s="2" t="s">
        <v>118</v>
      </c>
      <c r="C37" s="2" t="s">
        <v>119</v>
      </c>
      <c r="D37" s="2" t="s">
        <v>120</v>
      </c>
      <c r="E37" s="3" t="n">
        <v>-3.41222222222222</v>
      </c>
      <c r="F37" s="3" t="n">
        <v>-40.2625</v>
      </c>
      <c r="G37" s="4" t="n">
        <v>77</v>
      </c>
      <c r="H37" s="4" t="n">
        <v>2</v>
      </c>
      <c r="I37" s="2" t="n">
        <v>1</v>
      </c>
      <c r="J37" s="2" t="s">
        <v>15</v>
      </c>
      <c r="K37" s="2"/>
    </row>
    <row r="38" customFormat="false" ht="15" hidden="false" customHeight="false" outlineLevel="0" collapsed="false">
      <c r="A38" s="2" t="s">
        <v>11</v>
      </c>
      <c r="B38" s="2" t="s">
        <v>121</v>
      </c>
      <c r="C38" s="2" t="s">
        <v>122</v>
      </c>
      <c r="D38" s="2" t="s">
        <v>123</v>
      </c>
      <c r="E38" s="3" t="n">
        <v>-4.78944444444444</v>
      </c>
      <c r="F38" s="3" t="n">
        <v>-40.0605555555556</v>
      </c>
      <c r="G38" s="4" t="n">
        <v>710</v>
      </c>
      <c r="H38" s="4" t="n">
        <v>3</v>
      </c>
      <c r="I38" s="2" t="n">
        <v>1</v>
      </c>
      <c r="J38" s="2" t="s">
        <v>15</v>
      </c>
      <c r="K38" s="2"/>
    </row>
    <row r="39" customFormat="false" ht="15" hidden="false" customHeight="false" outlineLevel="0" collapsed="false">
      <c r="A39" s="2" t="s">
        <v>11</v>
      </c>
      <c r="B39" s="2" t="s">
        <v>124</v>
      </c>
      <c r="C39" s="2" t="s">
        <v>112</v>
      </c>
      <c r="D39" s="2" t="s">
        <v>125</v>
      </c>
      <c r="E39" s="3" t="n">
        <v>-5.10166666666667</v>
      </c>
      <c r="F39" s="3" t="n">
        <v>-38.2547222222222</v>
      </c>
      <c r="G39" s="4" t="n">
        <v>82</v>
      </c>
      <c r="H39" s="4" t="n">
        <v>15</v>
      </c>
      <c r="I39" s="2" t="n">
        <v>2</v>
      </c>
      <c r="J39" s="2" t="s">
        <v>30</v>
      </c>
      <c r="K39" s="2"/>
    </row>
    <row r="40" customFormat="false" ht="15" hidden="false" customHeight="false" outlineLevel="0" collapsed="false">
      <c r="A40" s="2" t="s">
        <v>11</v>
      </c>
      <c r="B40" s="2" t="s">
        <v>126</v>
      </c>
      <c r="C40" s="2" t="s">
        <v>127</v>
      </c>
      <c r="D40" s="2" t="s">
        <v>128</v>
      </c>
      <c r="E40" s="3" t="n">
        <v>-3.43305555555556</v>
      </c>
      <c r="F40" s="3" t="n">
        <v>-40.6788888888889</v>
      </c>
      <c r="G40" s="4" t="n">
        <v>60</v>
      </c>
      <c r="H40" s="4" t="n">
        <v>5</v>
      </c>
      <c r="I40" s="2" t="n">
        <v>1</v>
      </c>
      <c r="J40" s="2" t="s">
        <v>15</v>
      </c>
      <c r="K40" s="2"/>
    </row>
    <row r="41" customFormat="false" ht="15" hidden="false" customHeight="false" outlineLevel="0" collapsed="false">
      <c r="A41" s="2" t="s">
        <v>11</v>
      </c>
      <c r="B41" s="2" t="s">
        <v>129</v>
      </c>
      <c r="C41" s="2" t="s">
        <v>130</v>
      </c>
      <c r="D41" s="2" t="s">
        <v>131</v>
      </c>
      <c r="E41" s="3" t="n">
        <v>-3.23888888888889</v>
      </c>
      <c r="F41" s="3" t="n">
        <v>-40.1166666666667</v>
      </c>
      <c r="G41" s="4" t="n">
        <v>42</v>
      </c>
      <c r="H41" s="4" t="n">
        <v>40</v>
      </c>
      <c r="I41" s="2" t="n">
        <v>3</v>
      </c>
      <c r="J41" s="2" t="s">
        <v>19</v>
      </c>
      <c r="K41" s="2"/>
    </row>
    <row r="42" customFormat="false" ht="15" hidden="false" customHeight="false" outlineLevel="0" collapsed="false">
      <c r="A42" s="2" t="s">
        <v>11</v>
      </c>
      <c r="B42" s="2" t="s">
        <v>132</v>
      </c>
      <c r="C42" s="2" t="s">
        <v>133</v>
      </c>
      <c r="D42" s="2" t="s">
        <v>134</v>
      </c>
      <c r="E42" s="3" t="n">
        <v>-4.30555555555556</v>
      </c>
      <c r="F42" s="3" t="n">
        <v>-38.9963888888889</v>
      </c>
      <c r="G42" s="4" t="n">
        <v>801</v>
      </c>
      <c r="H42" s="4" t="n">
        <v>1</v>
      </c>
      <c r="I42" s="2" t="n">
        <v>1</v>
      </c>
      <c r="J42" s="2" t="s">
        <v>15</v>
      </c>
      <c r="K42" s="2"/>
    </row>
    <row r="43" customFormat="false" ht="15" hidden="false" customHeight="false" outlineLevel="0" collapsed="false">
      <c r="A43" s="2" t="s">
        <v>11</v>
      </c>
      <c r="B43" s="2" t="s">
        <v>135</v>
      </c>
      <c r="C43" s="2" t="s">
        <v>136</v>
      </c>
      <c r="D43" s="2" t="s">
        <v>137</v>
      </c>
      <c r="E43" s="3" t="n">
        <v>-4.23027777777778</v>
      </c>
      <c r="F43" s="3" t="n">
        <v>-38.4683333333333</v>
      </c>
      <c r="G43" s="4" t="n">
        <v>66</v>
      </c>
      <c r="H43" s="4" t="n">
        <v>5</v>
      </c>
      <c r="I43" s="2" t="n">
        <v>1</v>
      </c>
      <c r="J43" s="2" t="s">
        <v>15</v>
      </c>
      <c r="K43" s="2"/>
    </row>
    <row r="44" customFormat="false" ht="15" hidden="false" customHeight="false" outlineLevel="0" collapsed="false">
      <c r="A44" s="2" t="s">
        <v>11</v>
      </c>
      <c r="B44" s="2" t="s">
        <v>138</v>
      </c>
      <c r="C44" s="2" t="s">
        <v>139</v>
      </c>
      <c r="D44" s="2" t="s">
        <v>140</v>
      </c>
      <c r="E44" s="3" t="n">
        <v>-4.005</v>
      </c>
      <c r="F44" s="3" t="n">
        <v>-38.5858333333333</v>
      </c>
      <c r="G44" s="4" t="n">
        <v>69</v>
      </c>
      <c r="H44" s="4" t="n">
        <v>45</v>
      </c>
      <c r="I44" s="2" t="n">
        <v>4</v>
      </c>
      <c r="J44" s="2" t="s">
        <v>26</v>
      </c>
      <c r="K44" s="2"/>
    </row>
    <row r="45" customFormat="false" ht="15" hidden="false" customHeight="false" outlineLevel="0" collapsed="false">
      <c r="A45" s="2" t="s">
        <v>11</v>
      </c>
      <c r="B45" s="2" t="s">
        <v>141</v>
      </c>
      <c r="C45" s="2" t="s">
        <v>142</v>
      </c>
      <c r="D45" s="2" t="s">
        <v>143</v>
      </c>
      <c r="E45" s="3" t="n">
        <v>-4.77583333333333</v>
      </c>
      <c r="F45" s="3" t="n">
        <v>-38.0358333333333</v>
      </c>
      <c r="G45" s="4" t="n">
        <v>66</v>
      </c>
      <c r="H45" s="4" t="n">
        <v>30</v>
      </c>
      <c r="I45" s="2" t="n">
        <v>3</v>
      </c>
      <c r="J45" s="2" t="s">
        <v>19</v>
      </c>
      <c r="K45" s="2"/>
    </row>
    <row r="46" customFormat="false" ht="15" hidden="false" customHeight="false" outlineLevel="0" collapsed="false">
      <c r="A46" s="2" t="s">
        <v>11</v>
      </c>
      <c r="B46" s="2" t="s">
        <v>144</v>
      </c>
      <c r="C46" s="2" t="s">
        <v>145</v>
      </c>
      <c r="D46" s="2" t="s">
        <v>146</v>
      </c>
      <c r="E46" s="3" t="n">
        <v>-4.25361111111111</v>
      </c>
      <c r="F46" s="3"/>
      <c r="G46" s="4" t="n">
        <v>704</v>
      </c>
      <c r="H46" s="4" t="n">
        <v>1</v>
      </c>
      <c r="I46" s="2" t="n">
        <v>1</v>
      </c>
      <c r="J46" s="2" t="s">
        <v>15</v>
      </c>
      <c r="K46" s="2" t="s">
        <v>147</v>
      </c>
    </row>
    <row r="47" customFormat="false" ht="15" hidden="false" customHeight="false" outlineLevel="0" collapsed="false">
      <c r="A47" s="2" t="s">
        <v>11</v>
      </c>
      <c r="B47" s="2" t="s">
        <v>148</v>
      </c>
      <c r="C47" s="2" t="s">
        <v>149</v>
      </c>
      <c r="D47" s="2" t="s">
        <v>150</v>
      </c>
      <c r="E47" s="3" t="n">
        <v>-3.5825</v>
      </c>
      <c r="F47" s="3" t="n">
        <v>-39.0188888888889</v>
      </c>
      <c r="G47" s="4" t="n">
        <v>28</v>
      </c>
      <c r="H47" s="4" t="n">
        <v>20</v>
      </c>
      <c r="I47" s="2" t="n">
        <v>2</v>
      </c>
      <c r="J47" s="2" t="s">
        <v>30</v>
      </c>
      <c r="K47" s="2"/>
    </row>
    <row r="48" customFormat="false" ht="15" hidden="false" customHeight="false" outlineLevel="0" collapsed="false">
      <c r="A48" s="2" t="s">
        <v>11</v>
      </c>
      <c r="B48" s="2" t="s">
        <v>151</v>
      </c>
      <c r="C48" s="2" t="s">
        <v>152</v>
      </c>
      <c r="D48" s="2" t="s">
        <v>153</v>
      </c>
      <c r="E48" s="3" t="n">
        <v>-3.78916666666667</v>
      </c>
      <c r="F48" s="3" t="n">
        <v>-39.2972222222222</v>
      </c>
      <c r="G48" s="4" t="n">
        <v>43</v>
      </c>
      <c r="H48" s="4" t="n">
        <v>10</v>
      </c>
      <c r="I48" s="2" t="n">
        <v>2</v>
      </c>
      <c r="J48" s="2" t="s">
        <v>30</v>
      </c>
      <c r="K48" s="2"/>
    </row>
    <row r="49" customFormat="false" ht="15" hidden="false" customHeight="false" outlineLevel="0" collapsed="false">
      <c r="A49" s="2" t="s">
        <v>11</v>
      </c>
      <c r="B49" s="2" t="s">
        <v>154</v>
      </c>
      <c r="C49" s="2" t="s">
        <v>155</v>
      </c>
      <c r="D49" s="2" t="s">
        <v>156</v>
      </c>
      <c r="E49" s="3" t="n">
        <v>-4.95416666666667</v>
      </c>
      <c r="F49" s="3" t="n">
        <v>-39.0186111111111</v>
      </c>
      <c r="G49" s="4" t="n">
        <v>24.6</v>
      </c>
      <c r="H49" s="4" t="n">
        <v>35</v>
      </c>
      <c r="I49" s="2" t="n">
        <v>3</v>
      </c>
      <c r="J49" s="2" t="s">
        <v>19</v>
      </c>
      <c r="K49" s="2"/>
    </row>
    <row r="50" customFormat="false" ht="15" hidden="false" customHeight="false" outlineLevel="0" collapsed="false">
      <c r="A50" s="2" t="s">
        <v>11</v>
      </c>
      <c r="B50" s="2" t="s">
        <v>157</v>
      </c>
      <c r="C50" s="2" t="s">
        <v>158</v>
      </c>
      <c r="D50" s="2" t="s">
        <v>159</v>
      </c>
      <c r="E50" s="3" t="n">
        <v>-5.06916666666667</v>
      </c>
      <c r="F50" s="3" t="n">
        <v>-37.9852777777778</v>
      </c>
      <c r="G50" s="4" t="n">
        <v>50</v>
      </c>
      <c r="H50" s="4" t="n">
        <v>15</v>
      </c>
      <c r="I50" s="2" t="n">
        <v>2</v>
      </c>
      <c r="J50" s="2" t="s">
        <v>30</v>
      </c>
      <c r="K50" s="2"/>
    </row>
    <row r="51" customFormat="false" ht="15" hidden="false" customHeight="false" outlineLevel="0" collapsed="false">
      <c r="A51" s="2" t="s">
        <v>11</v>
      </c>
      <c r="B51" s="2" t="s">
        <v>160</v>
      </c>
      <c r="C51" s="2" t="s">
        <v>161</v>
      </c>
      <c r="D51" s="2" t="s">
        <v>162</v>
      </c>
      <c r="E51" s="3" t="n">
        <v>-4.96333333333333</v>
      </c>
      <c r="F51" s="3" t="n">
        <v>-37.9855555555556</v>
      </c>
      <c r="G51" s="4" t="n">
        <v>47</v>
      </c>
      <c r="H51" s="4" t="n">
        <v>40</v>
      </c>
      <c r="I51" s="2" t="n">
        <v>3</v>
      </c>
      <c r="J51" s="2" t="s">
        <v>19</v>
      </c>
      <c r="K51" s="2"/>
    </row>
    <row r="52" customFormat="false" ht="15" hidden="false" customHeight="false" outlineLevel="0" collapsed="false">
      <c r="A52" s="2" t="s">
        <v>11</v>
      </c>
      <c r="B52" s="2" t="s">
        <v>163</v>
      </c>
      <c r="C52" s="2" t="s">
        <v>164</v>
      </c>
      <c r="D52" s="2" t="s">
        <v>165</v>
      </c>
      <c r="E52" s="3" t="n">
        <v>-3.60222222222222</v>
      </c>
      <c r="F52" s="3" t="n">
        <v>-38.9522222222222</v>
      </c>
      <c r="G52" s="4" t="n">
        <v>39</v>
      </c>
      <c r="H52" s="4" t="n">
        <v>50</v>
      </c>
      <c r="I52" s="2" t="n">
        <v>4</v>
      </c>
      <c r="J52" s="2" t="s">
        <v>26</v>
      </c>
      <c r="K52" s="2"/>
    </row>
    <row r="53" customFormat="false" ht="15" hidden="false" customHeight="false" outlineLevel="0" collapsed="false">
      <c r="A53" s="2" t="s">
        <v>11</v>
      </c>
      <c r="B53" s="2" t="s">
        <v>166</v>
      </c>
      <c r="C53" s="2" t="s">
        <v>167</v>
      </c>
      <c r="D53" s="2" t="s">
        <v>168</v>
      </c>
      <c r="E53" s="3" t="n">
        <v>-3.99611111111111</v>
      </c>
      <c r="F53" s="3" t="n">
        <v>-40.0852777777778</v>
      </c>
      <c r="G53" s="4" t="n">
        <v>181</v>
      </c>
      <c r="H53" s="4" t="n">
        <v>10</v>
      </c>
      <c r="I53" s="2" t="n">
        <v>1</v>
      </c>
      <c r="J53" s="2" t="s">
        <v>15</v>
      </c>
      <c r="K53" s="2"/>
    </row>
    <row r="54" customFormat="false" ht="15" hidden="false" customHeight="false" outlineLevel="0" collapsed="false">
      <c r="A54" s="2" t="s">
        <v>11</v>
      </c>
      <c r="B54" s="2" t="s">
        <v>169</v>
      </c>
      <c r="C54" s="2" t="s">
        <v>170</v>
      </c>
      <c r="D54" s="2" t="s">
        <v>171</v>
      </c>
      <c r="E54" s="3" t="n">
        <v>-3.43833333333333</v>
      </c>
      <c r="F54" s="3" t="n">
        <v>-40.2188888888889</v>
      </c>
      <c r="G54" s="4" t="n">
        <v>61</v>
      </c>
      <c r="H54" s="4" t="n">
        <v>5</v>
      </c>
      <c r="I54" s="2" t="n">
        <v>2</v>
      </c>
      <c r="J54" s="2" t="s">
        <v>30</v>
      </c>
      <c r="K54" s="2"/>
    </row>
    <row r="55" customFormat="false" ht="15" hidden="false" customHeight="false" outlineLevel="0" collapsed="false">
      <c r="A55" s="2" t="s">
        <v>11</v>
      </c>
      <c r="B55" s="2" t="s">
        <v>172</v>
      </c>
      <c r="C55" s="2" t="s">
        <v>173</v>
      </c>
      <c r="D55" s="2" t="s">
        <v>174</v>
      </c>
      <c r="E55" s="3" t="n">
        <v>-3.67944444444444</v>
      </c>
      <c r="F55" s="3" t="n">
        <v>-39.2511111111111</v>
      </c>
      <c r="G55" s="4" t="n">
        <v>88</v>
      </c>
      <c r="H55" s="4" t="n">
        <v>35</v>
      </c>
      <c r="I55" s="2" t="n">
        <v>3</v>
      </c>
      <c r="J55" s="2" t="s">
        <v>19</v>
      </c>
      <c r="K55" s="2"/>
    </row>
    <row r="56" customFormat="false" ht="15" hidden="false" customHeight="false" outlineLevel="0" collapsed="false">
      <c r="A56" s="2" t="s">
        <v>11</v>
      </c>
      <c r="B56" s="2" t="s">
        <v>175</v>
      </c>
      <c r="C56" s="2" t="s">
        <v>176</v>
      </c>
      <c r="D56" s="2" t="s">
        <v>177</v>
      </c>
      <c r="E56" s="3" t="n">
        <v>-5.51833333333333</v>
      </c>
      <c r="F56" s="3" t="n">
        <v>-39.4675</v>
      </c>
      <c r="G56" s="4" t="n">
        <v>316</v>
      </c>
      <c r="H56" s="4" t="n">
        <v>8</v>
      </c>
      <c r="I56" s="2" t="n">
        <v>1</v>
      </c>
      <c r="J56" s="2" t="s">
        <v>15</v>
      </c>
      <c r="K56" s="2"/>
    </row>
    <row r="57" customFormat="false" ht="15" hidden="false" customHeight="false" outlineLevel="0" collapsed="false">
      <c r="A57" s="2" t="s">
        <v>11</v>
      </c>
      <c r="B57" s="2" t="s">
        <v>178</v>
      </c>
      <c r="C57" s="2" t="s">
        <v>179</v>
      </c>
      <c r="D57" s="2" t="s">
        <v>180</v>
      </c>
      <c r="E57" s="3" t="n">
        <v>-3.34666666666667</v>
      </c>
      <c r="F57" s="3" t="n">
        <v>-40.4680555555556</v>
      </c>
      <c r="G57" s="4" t="n">
        <v>139</v>
      </c>
      <c r="H57" s="4" t="n">
        <v>2</v>
      </c>
      <c r="I57" s="2" t="n">
        <v>1</v>
      </c>
      <c r="J57" s="2" t="s">
        <v>15</v>
      </c>
      <c r="K57" s="2"/>
    </row>
    <row r="58" customFormat="false" ht="15" hidden="false" customHeight="false" outlineLevel="0" collapsed="false">
      <c r="A58" s="2" t="s">
        <v>11</v>
      </c>
      <c r="B58" s="2" t="s">
        <v>181</v>
      </c>
      <c r="C58" s="2" t="s">
        <v>182</v>
      </c>
      <c r="D58" s="2" t="s">
        <v>183</v>
      </c>
      <c r="E58" s="3" t="n">
        <v>-3.96611111111111</v>
      </c>
      <c r="F58" s="3" t="n">
        <v>-40.0591666666667</v>
      </c>
      <c r="G58" s="4" t="n">
        <v>70</v>
      </c>
      <c r="H58" s="4" t="n">
        <v>15</v>
      </c>
      <c r="I58" s="2" t="n">
        <v>2</v>
      </c>
      <c r="J58" s="2" t="s">
        <v>30</v>
      </c>
      <c r="K58" s="2"/>
    </row>
    <row r="59" customFormat="false" ht="15" hidden="false" customHeight="false" outlineLevel="0" collapsed="false">
      <c r="A59" s="2" t="s">
        <v>11</v>
      </c>
      <c r="B59" s="2" t="s">
        <v>184</v>
      </c>
      <c r="C59" s="2" t="s">
        <v>185</v>
      </c>
      <c r="D59" s="2" t="s">
        <v>186</v>
      </c>
      <c r="E59" s="3" t="n">
        <v>-5.18555555555556</v>
      </c>
      <c r="F59" s="3" t="n">
        <v>-38.1230555555556</v>
      </c>
      <c r="G59" s="4" t="n">
        <v>53</v>
      </c>
      <c r="H59" s="4" t="n">
        <v>5</v>
      </c>
      <c r="I59" s="2" t="n">
        <v>1</v>
      </c>
      <c r="J59" s="2" t="s">
        <v>15</v>
      </c>
      <c r="K59" s="2"/>
    </row>
    <row r="60" customFormat="false" ht="15" hidden="false" customHeight="false" outlineLevel="0" collapsed="false">
      <c r="A60" s="2" t="s">
        <v>11</v>
      </c>
      <c r="B60" s="2" t="s">
        <v>187</v>
      </c>
      <c r="C60" s="2" t="s">
        <v>188</v>
      </c>
      <c r="D60" s="2" t="s">
        <v>189</v>
      </c>
      <c r="E60" s="3" t="n">
        <v>-3.27777777777778</v>
      </c>
      <c r="F60" s="3" t="n">
        <v>-39.2688888888889</v>
      </c>
      <c r="G60" s="4" t="n">
        <v>18</v>
      </c>
      <c r="H60" s="4" t="n">
        <v>5</v>
      </c>
      <c r="I60" s="2" t="n">
        <v>1</v>
      </c>
      <c r="J60" s="2" t="s">
        <v>15</v>
      </c>
      <c r="K60" s="2"/>
    </row>
    <row r="61" customFormat="false" ht="15" hidden="false" customHeight="false" outlineLevel="0" collapsed="false">
      <c r="A61" s="2" t="s">
        <v>11</v>
      </c>
      <c r="B61" s="2" t="s">
        <v>190</v>
      </c>
      <c r="C61" s="2" t="s">
        <v>191</v>
      </c>
      <c r="D61" s="2" t="s">
        <v>192</v>
      </c>
      <c r="E61" s="3" t="n">
        <v>-3.59944444444444</v>
      </c>
      <c r="F61" s="3" t="n">
        <v>-39.4455555555556</v>
      </c>
      <c r="G61" s="4" t="n">
        <v>136</v>
      </c>
      <c r="H61" s="4" t="n">
        <v>5</v>
      </c>
      <c r="I61" s="2" t="n">
        <v>1</v>
      </c>
      <c r="J61" s="2" t="s">
        <v>15</v>
      </c>
      <c r="K61" s="2"/>
    </row>
    <row r="62" customFormat="false" ht="15" hidden="false" customHeight="false" outlineLevel="0" collapsed="false">
      <c r="A62" s="2" t="s">
        <v>11</v>
      </c>
      <c r="B62" s="2" t="s">
        <v>193</v>
      </c>
      <c r="C62" s="2" t="s">
        <v>194</v>
      </c>
      <c r="D62" s="2" t="s">
        <v>195</v>
      </c>
      <c r="E62" s="3" t="n">
        <v>-3.675</v>
      </c>
      <c r="F62" s="3" t="n">
        <v>-39.2419444444444</v>
      </c>
      <c r="G62" s="4" t="n">
        <v>40</v>
      </c>
      <c r="H62" s="4" t="n">
        <v>25</v>
      </c>
      <c r="I62" s="2" t="n">
        <v>3</v>
      </c>
      <c r="J62" s="2" t="s">
        <v>19</v>
      </c>
      <c r="K62" s="2"/>
    </row>
    <row r="63" customFormat="false" ht="15" hidden="false" customHeight="false" outlineLevel="0" collapsed="false">
      <c r="A63" s="2" t="s">
        <v>11</v>
      </c>
      <c r="B63" s="2" t="s">
        <v>196</v>
      </c>
      <c r="C63" s="2" t="s">
        <v>197</v>
      </c>
      <c r="D63" s="2" t="s">
        <v>198</v>
      </c>
      <c r="E63" s="3" t="n">
        <v>-3.31611111111111</v>
      </c>
      <c r="F63" s="3" t="n">
        <v>-40.5322222222222</v>
      </c>
      <c r="G63" s="4" t="n">
        <v>149</v>
      </c>
      <c r="H63" s="4" t="n">
        <v>1</v>
      </c>
      <c r="I63" s="2" t="n">
        <v>1</v>
      </c>
      <c r="J63" s="2" t="s">
        <v>15</v>
      </c>
      <c r="K63" s="2"/>
    </row>
    <row r="64" customFormat="false" ht="15" hidden="false" customHeight="false" outlineLevel="0" collapsed="false">
      <c r="A64" s="2" t="s">
        <v>11</v>
      </c>
      <c r="B64" s="2" t="s">
        <v>199</v>
      </c>
      <c r="C64" s="2" t="s">
        <v>200</v>
      </c>
      <c r="D64" s="2" t="s">
        <v>201</v>
      </c>
      <c r="E64" s="3" t="n">
        <v>-4.24444444444444</v>
      </c>
      <c r="F64" s="3" t="n">
        <v>-40.4408333333333</v>
      </c>
      <c r="G64" s="4" t="n">
        <v>183</v>
      </c>
      <c r="H64" s="4" t="n">
        <v>5</v>
      </c>
      <c r="I64" s="2" t="n">
        <v>1</v>
      </c>
      <c r="J64" s="2" t="s">
        <v>15</v>
      </c>
      <c r="K64" s="2"/>
    </row>
    <row r="65" customFormat="false" ht="15" hidden="false" customHeight="false" outlineLevel="0" collapsed="false">
      <c r="A65" s="2" t="s">
        <v>11</v>
      </c>
      <c r="B65" s="2" t="s">
        <v>202</v>
      </c>
      <c r="C65" s="2" t="s">
        <v>203</v>
      </c>
      <c r="D65" s="2" t="s">
        <v>204</v>
      </c>
      <c r="E65" s="3" t="n">
        <v>-3.40194444444444</v>
      </c>
      <c r="F65" s="3" t="n">
        <v>-41.0094444444445</v>
      </c>
      <c r="G65" s="4" t="n">
        <v>98</v>
      </c>
      <c r="H65" s="4" t="n">
        <v>2</v>
      </c>
      <c r="I65" s="2" t="n">
        <v>1</v>
      </c>
      <c r="J65" s="2" t="s">
        <v>15</v>
      </c>
      <c r="K65" s="2"/>
    </row>
    <row r="66" customFormat="false" ht="15" hidden="false" customHeight="false" outlineLevel="0" collapsed="false">
      <c r="A66" s="2" t="s">
        <v>205</v>
      </c>
      <c r="B66" s="2" t="s">
        <v>206</v>
      </c>
      <c r="C66" s="2" t="s">
        <v>207</v>
      </c>
      <c r="D66" s="2" t="s">
        <v>208</v>
      </c>
      <c r="E66" s="3" t="n">
        <v>-4.78083333333333</v>
      </c>
      <c r="F66" s="3" t="n">
        <v>-42.1158333333333</v>
      </c>
      <c r="G66" s="4" t="n">
        <v>120</v>
      </c>
      <c r="H66" s="4" t="n">
        <v>2</v>
      </c>
      <c r="I66" s="2" t="n">
        <v>1</v>
      </c>
      <c r="J66" s="2" t="s">
        <v>15</v>
      </c>
      <c r="K66" s="2"/>
    </row>
    <row r="67" customFormat="false" ht="15" hidden="false" customHeight="false" outlineLevel="0" collapsed="false">
      <c r="A67" s="2" t="s">
        <v>205</v>
      </c>
      <c r="B67" s="2" t="s">
        <v>209</v>
      </c>
      <c r="C67" s="2" t="s">
        <v>210</v>
      </c>
      <c r="D67" s="2" t="s">
        <v>211</v>
      </c>
      <c r="E67" s="3" t="n">
        <v>-2.89638888888889</v>
      </c>
      <c r="F67" s="3" t="n">
        <v>-41.6591666666667</v>
      </c>
      <c r="G67" s="4" t="n">
        <v>13</v>
      </c>
      <c r="H67" s="4" t="n">
        <v>15</v>
      </c>
      <c r="I67" s="2" t="n">
        <v>2</v>
      </c>
      <c r="J67" s="2" t="s">
        <v>30</v>
      </c>
      <c r="K67" s="2"/>
    </row>
    <row r="68" customFormat="false" ht="15" hidden="false" customHeight="false" outlineLevel="0" collapsed="false">
      <c r="A68" s="2" t="s">
        <v>205</v>
      </c>
      <c r="B68" s="2" t="s">
        <v>212</v>
      </c>
      <c r="C68" s="2" t="s">
        <v>213</v>
      </c>
      <c r="D68" s="2" t="s">
        <v>214</v>
      </c>
      <c r="E68" s="3" t="n">
        <v>-2.90388888888889</v>
      </c>
      <c r="F68" s="3" t="n">
        <v>-41.7763888888889</v>
      </c>
      <c r="G68" s="4" t="n">
        <v>398</v>
      </c>
      <c r="H68" s="4" t="n">
        <v>10</v>
      </c>
      <c r="I68" s="2" t="n">
        <v>1</v>
      </c>
      <c r="J68" s="2" t="s">
        <v>15</v>
      </c>
      <c r="K68" s="2"/>
    </row>
    <row r="69" customFormat="false" ht="15" hidden="false" customHeight="false" outlineLevel="0" collapsed="false">
      <c r="A69" s="2" t="s">
        <v>205</v>
      </c>
      <c r="B69" s="2" t="s">
        <v>215</v>
      </c>
      <c r="C69" s="2" t="s">
        <v>216</v>
      </c>
      <c r="D69" s="2" t="s">
        <v>217</v>
      </c>
      <c r="E69" s="3" t="n">
        <v>-3.92805555555556</v>
      </c>
      <c r="F69" s="3" t="n">
        <v>-41.7116666666667</v>
      </c>
      <c r="G69" s="4" t="n">
        <v>76</v>
      </c>
      <c r="H69" s="4" t="n">
        <v>15</v>
      </c>
      <c r="I69" s="2" t="n">
        <v>2</v>
      </c>
      <c r="J69" s="2" t="s">
        <v>30</v>
      </c>
      <c r="K69" s="2"/>
    </row>
    <row r="70" customFormat="false" ht="15" hidden="false" customHeight="false" outlineLevel="0" collapsed="false">
      <c r="A70" s="2" t="s">
        <v>205</v>
      </c>
      <c r="B70" s="2" t="s">
        <v>218</v>
      </c>
      <c r="C70" s="2" t="s">
        <v>219</v>
      </c>
      <c r="D70" s="2" t="s">
        <v>220</v>
      </c>
      <c r="E70" s="3" t="n">
        <v>-4.33694444444444</v>
      </c>
      <c r="F70" s="3" t="n">
        <v>-41.7955555555556</v>
      </c>
      <c r="G70" s="4" t="n">
        <v>150</v>
      </c>
      <c r="H70" s="4" t="n">
        <v>20</v>
      </c>
      <c r="I70" s="2" t="n">
        <v>2</v>
      </c>
      <c r="J70" s="2" t="s">
        <v>30</v>
      </c>
      <c r="K70" s="2"/>
    </row>
    <row r="71" customFormat="false" ht="15" hidden="false" customHeight="false" outlineLevel="0" collapsed="false">
      <c r="A71" s="2" t="s">
        <v>221</v>
      </c>
      <c r="B71" s="2" t="s">
        <v>222</v>
      </c>
      <c r="C71" s="2" t="s">
        <v>223</v>
      </c>
      <c r="D71" s="2" t="s">
        <v>137</v>
      </c>
      <c r="E71" s="3" t="n">
        <v>-6.76888888888889</v>
      </c>
      <c r="F71" s="3" t="n">
        <v>-38.4683333333333</v>
      </c>
      <c r="G71" s="4" t="n">
        <v>326</v>
      </c>
      <c r="H71" s="4" t="n">
        <v>5</v>
      </c>
      <c r="I71" s="2" t="n">
        <v>1</v>
      </c>
      <c r="J71" s="2" t="s">
        <v>15</v>
      </c>
      <c r="K71" s="2"/>
    </row>
    <row r="72" customFormat="false" ht="15" hidden="false" customHeight="false" outlineLevel="0" collapsed="false">
      <c r="A72" s="2" t="s">
        <v>221</v>
      </c>
      <c r="B72" s="2" t="s">
        <v>224</v>
      </c>
      <c r="C72" s="2" t="s">
        <v>225</v>
      </c>
      <c r="D72" s="2" t="s">
        <v>226</v>
      </c>
      <c r="E72" s="3" t="n">
        <v>-6.73111111111111</v>
      </c>
      <c r="F72" s="3" t="n">
        <v>-38.2611111111111</v>
      </c>
      <c r="G72" s="4" t="n">
        <v>38</v>
      </c>
      <c r="H72" s="4" t="n">
        <v>5</v>
      </c>
      <c r="I72" s="2" t="n">
        <v>1</v>
      </c>
      <c r="J72" s="2" t="s">
        <v>15</v>
      </c>
      <c r="K72" s="2"/>
    </row>
    <row r="73" customFormat="false" ht="15" hidden="false" customHeight="false" outlineLevel="0" collapsed="false">
      <c r="A73" s="2" t="s">
        <v>227</v>
      </c>
      <c r="B73" s="2" t="s">
        <v>228</v>
      </c>
      <c r="C73" s="2" t="s">
        <v>229</v>
      </c>
      <c r="D73" s="2" t="s">
        <v>230</v>
      </c>
      <c r="E73" s="3" t="n">
        <v>-5.585</v>
      </c>
      <c r="F73" s="3" t="n">
        <v>-37.8188888888889</v>
      </c>
      <c r="G73" s="4" t="n">
        <v>120</v>
      </c>
      <c r="H73" s="4" t="n">
        <v>10</v>
      </c>
      <c r="I73" s="2" t="n">
        <v>1</v>
      </c>
      <c r="J73" s="2" t="s">
        <v>15</v>
      </c>
      <c r="K73" s="2"/>
    </row>
    <row r="74" customFormat="false" ht="15" hidden="false" customHeight="false" outlineLevel="0" collapsed="false">
      <c r="A74" s="2" t="s">
        <v>227</v>
      </c>
      <c r="B74" s="2" t="s">
        <v>231</v>
      </c>
      <c r="C74" s="2" t="s">
        <v>232</v>
      </c>
      <c r="D74" s="2" t="s">
        <v>233</v>
      </c>
      <c r="E74" s="3" t="n">
        <v>-5.52305555555556</v>
      </c>
      <c r="F74" s="3" t="n">
        <v>-37.6416666666667</v>
      </c>
      <c r="G74" s="4" t="n">
        <v>100</v>
      </c>
      <c r="H74" s="4" t="n">
        <v>5</v>
      </c>
      <c r="I74" s="2" t="n">
        <v>1</v>
      </c>
      <c r="J74" s="2" t="s">
        <v>15</v>
      </c>
      <c r="K74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K2:K74">
    <cfRule type="expression" priority="2" aboveAverage="0" equalAverage="0" bottom="0" percent="0" rank="0" text="" dxfId="4">
      <formula>K2&lt;&gt;""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</cols>
  <sheetData>
    <row r="1" customFormat="false" ht="15" hidden="false" customHeight="false" outlineLevel="0" collapsed="false">
      <c r="A1" s="5" t="s">
        <v>234</v>
      </c>
      <c r="B1" s="5" t="s">
        <v>235</v>
      </c>
    </row>
    <row r="2" customFormat="false" ht="34.2" hidden="false" customHeight="false" outlineLevel="0" collapsed="false">
      <c r="A2" s="6" t="s">
        <v>236</v>
      </c>
      <c r="B2" s="6" t="s">
        <v>237</v>
      </c>
    </row>
    <row r="3" customFormat="false" ht="15" hidden="false" customHeight="false" outlineLevel="0" collapsed="false">
      <c r="A3" s="6" t="s">
        <v>238</v>
      </c>
      <c r="B3" s="6" t="s">
        <v>239</v>
      </c>
    </row>
    <row r="4" customFormat="false" ht="15" hidden="false" customHeight="false" outlineLevel="0" collapsed="false">
      <c r="A4" s="6" t="s">
        <v>240</v>
      </c>
      <c r="B4" s="6" t="s">
        <v>241</v>
      </c>
    </row>
    <row r="5" customFormat="false" ht="23.3" hidden="false" customHeight="false" outlineLevel="0" collapsed="false">
      <c r="A5" s="6" t="s">
        <v>242</v>
      </c>
      <c r="B5" s="6" t="s">
        <v>243</v>
      </c>
    </row>
    <row r="6" customFormat="false" ht="23.3" hidden="false" customHeight="false" outlineLevel="0" collapsed="false">
      <c r="A6" s="6" t="s">
        <v>244</v>
      </c>
      <c r="B6" s="6" t="s">
        <v>245</v>
      </c>
    </row>
    <row r="7" customFormat="false" ht="34.2" hidden="false" customHeight="false" outlineLevel="0" collapsed="false">
      <c r="A7" s="6" t="s">
        <v>246</v>
      </c>
      <c r="B7" s="6" t="s">
        <v>247</v>
      </c>
    </row>
    <row r="8" customFormat="false" ht="23.3" hidden="false" customHeight="false" outlineLevel="0" collapsed="false">
      <c r="A8" s="6" t="s">
        <v>248</v>
      </c>
      <c r="B8" s="6" t="s">
        <v>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7" t="s">
        <v>0</v>
      </c>
      <c r="B1" s="7" t="s">
        <v>250</v>
      </c>
      <c r="C1" s="7" t="s">
        <v>251</v>
      </c>
    </row>
    <row r="2" customFormat="false" ht="15" hidden="false" customHeight="false" outlineLevel="0" collapsed="false">
      <c r="A2" s="0" t="s">
        <v>11</v>
      </c>
      <c r="B2" s="0" t="n">
        <f aca="false">COUNTIF(Cryptostegia!A2:A74,A2)</f>
        <v>64</v>
      </c>
      <c r="C2" s="0" t="n">
        <f aca="false">SUMIF(Cryptostegia!A2:A74,A2,Cryptostegia!H2:H74)</f>
        <v>1178</v>
      </c>
    </row>
    <row r="3" customFormat="false" ht="15" hidden="false" customHeight="false" outlineLevel="0" collapsed="false">
      <c r="A3" s="0" t="s">
        <v>205</v>
      </c>
      <c r="B3" s="0" t="n">
        <f aca="false">COUNTIF(Cryptostegia!A2:A74,A3)</f>
        <v>5</v>
      </c>
      <c r="C3" s="0" t="n">
        <f aca="false">SUMIF(Cryptostegia!A2:A74,A3,Cryptostegia!H2:H74)</f>
        <v>62</v>
      </c>
    </row>
    <row r="4" customFormat="false" ht="15" hidden="false" customHeight="false" outlineLevel="0" collapsed="false">
      <c r="A4" s="0" t="s">
        <v>221</v>
      </c>
      <c r="B4" s="0" t="n">
        <f aca="false">COUNTIF(Cryptostegia!A2:A74,A4)</f>
        <v>2</v>
      </c>
      <c r="C4" s="0" t="n">
        <f aca="false">SUMIF(Cryptostegia!A2:A74,A4,Cryptostegia!H2:H74)</f>
        <v>10</v>
      </c>
    </row>
    <row r="5" customFormat="false" ht="15" hidden="false" customHeight="false" outlineLevel="0" collapsed="false">
      <c r="A5" s="0" t="s">
        <v>227</v>
      </c>
      <c r="B5" s="0" t="n">
        <f aca="false">COUNTIF(Cryptostegia!A2:A74,A5)</f>
        <v>2</v>
      </c>
      <c r="C5" s="0" t="n">
        <f aca="false">SUMIF(Cryptostegia!A2:A74,A5,Cryptostegia!H2:H74)</f>
        <v>15</v>
      </c>
    </row>
    <row r="6" customFormat="false" ht="15" hidden="false" customHeight="false" outlineLevel="0" collapsed="false">
      <c r="A6" s="8" t="s">
        <v>252</v>
      </c>
      <c r="B6" s="8" t="n">
        <f aca="false">SUM(B2:B5)</f>
        <v>73</v>
      </c>
      <c r="C6" s="8" t="n">
        <f aca="false">SUM(C2:C5)</f>
        <v>1265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2026-08-27T21:04:21Z</dcterms:modified>
  <cp:revision>1</cp:revision>
  <dc:subject/>
  <dc:title/>
</cp:coreProperties>
</file>